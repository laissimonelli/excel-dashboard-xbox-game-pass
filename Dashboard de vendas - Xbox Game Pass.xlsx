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E:\Laís\CURSOS\Excel - Santander e DIO\Xbox game pass\"/>
    </mc:Choice>
  </mc:AlternateContent>
  <xr:revisionPtr revIDLastSave="0" documentId="8_{B77AE29F-E3DB-42AB-9F28-DCE446D1DA7C}" xr6:coauthVersionLast="47" xr6:coauthVersionMax="47" xr10:uidLastSave="{00000000-0000-0000-0000-000000000000}"/>
  <bookViews>
    <workbookView xWindow="-120" yWindow="-120" windowWidth="38640" windowHeight="158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7" i="3" l="1"/>
  <c r="E2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<sst xmlns="http://schemas.openxmlformats.org/spreadsheetml/2006/main" count="2022" uniqueCount="324">
  <si>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</si>
  <si>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</si>
  <si>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</si>
  <si>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</si>
  <si>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</si>
  <si>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</si>
  <si>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</si>
  <si>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</si>
  <si>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</si>
  <si>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</si>
  <si>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</si>
  <si>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</si>
  <si>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</si>
  <si>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</si>
  <si>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</si>
  <si>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</si>
  <si>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</si>
  <si>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</si>
  <si>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</si>
  <si>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</si>
  <si>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</si>
  <si>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</si>
  <si>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</si>
  <si>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</si>
  <si>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</si>
  <si>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</si>
  <si>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</si>
  <si>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</si>
  <si>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</si>
  <si>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</si>
  <si>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</si>
  <si>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</si>
  <si>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</si>
  <si>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</si>
  <si>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</si>
  <si>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</si>
  <si>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</si>
  <si>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</si>
  <si>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</si>
  <si>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</si>
  <si>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</si>
  <si>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</si>
  <si>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</si>
  <si>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</si>
  <si>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</si>
  <si>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</si>
  <si>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</si>
  <si>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</si>
  <si>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</si>
  <si>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</si>
  <si>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</si>
  <si>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</si>
  <si>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</si>
  <si>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</si>
  <si>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</si>
  <si>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</si>
  <si>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</si>
  <si>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</si>
  <si>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</si>
  <si>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</si>
  <si>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</si>
  <si>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</si>
  <si>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</si>
  <si>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</si>
  <si>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</si>
  <si>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</si>
  <si>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</si>
  <si>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</si>
  <si>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</si>
  <si>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</si>
  <si>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</si>
  <si>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</si>
  <si>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</si>
  <si>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</si>
  <si>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</si>
  <si>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</si>
  <si>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</si>
  <si>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</si>
  <si>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</si>
  <si>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</si>
  <si>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</si>
  <si>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</si>
  <si>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</si>
  <si>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</si>
  <si>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</si>
  <si>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</si>
  <si>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</si>
  <si>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</si>
  <si>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</si>
  <si>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</si>
  <si>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</si>
  <si>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</si>
  <si>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</si>
  <si>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</si>
  <si>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</si>
  <si>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</si>
  <si>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</si>
  <si>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</si>
  <si>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</si>
  <si>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</si>
  <si>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</si>
  <si>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</si>
  <si>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</si>
  <si>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</si>
  <si>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</si>
  <si>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</si>
  <si>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</si>
  <si>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</si>
  <si>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</si>
  <si>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</si>
  <si>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</si>
  <si>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</si>
  <si>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</si>
  <si>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</si>
  <si>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</si>
  <si>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</si>
  <si>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</si>
  <si>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</si>
  <si>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</si>
  <si>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</si>
  <si>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</si>
  <si>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</si>
  <si>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</si>
  <si>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</si>
  <si>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</si>
  <si>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</si>
  <si>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</si>
  <si>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</si>
  <si>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</si>
  <si>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</si>
  <si>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</si>
  <si>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</si>
  <si>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</si>
  <si>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</si>
  <si>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</si>
  <si>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</si>
  <si>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</si>
  <si>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</si>
  <si>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</si>
  <si>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</si>
  <si>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</si>
  <si>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</si>
  <si>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</si>
  <si>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</si>
  <si>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</si>
  <si>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</si>
  <si>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</si>
  <si>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</si>
  <si>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</si>
  <si>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</si>
  <si>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</si>
  <si>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</si>
  <si>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</si>
  <si>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</si>
  <si>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</si>
  <si>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</si>
  <si>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</si>
  <si>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</si>
  <si>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</si>
  <si>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</si>
  <si>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</si>
  <si>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</si>
  <si>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</si>
  <si>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</si>
  <si>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</si>
  <si>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</si>
  <si>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</si>
  <si>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</si>
  <si>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</si>
  <si>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</si>
  <si>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</si>
  <si>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</si>
  <si>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</si>
  <si>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</si>
  <si>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</si>
  <si>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</si>
  <si>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</si>
  <si>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</si>
  <si>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</si>
  <si>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</si>
  <si>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</si>
  <si>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</si>
  <si>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</si>
  <si>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</si>
  <si>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</si>
  <si>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</si>
  <si>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</si>
  <si>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</si>
  <si>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</si>
  <si>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</si>
  <si>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</si>
  <si>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</si>
  <si>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</si>
  <si>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</si>
  <si>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</si>
  <si>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</si>
  <si>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</si>
  <si>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</si>
  <si>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</si>
  <si>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</si>
  <si>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</si>
  <si>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</si>
  <si>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</si>
  <si>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</si>
  <si>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</si>
  <si>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</si>
  <si>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</si>
  <si>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</si>
  <si>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</si>
  <si>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</si>
  <si>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</si>
  <si>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</si>
  <si>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</si>
  <si>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</si>
  <si>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</si>
  <si>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</si>
  <si>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</si>
  <si>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</si>
  <si>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</si>
  <si>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</si>
  <si>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</si>
  <si>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</si>
  <si>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</si>
  <si>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</si>
  <si>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</si>
  <si>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</si>
  <si>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</si>
  <si>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</si>
  <si>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</si>
  <si>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</si>
  <si>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</si>
  <si>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</si>
  <si>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</si>
  <si>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</si>
  <si>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</si>
  <si>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</si>
  <si>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</si>
  <si>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</si>
  <si>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</si>
  <si>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</si>
  <si>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</si>
  <si>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</si>
  <si>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</si>
  <si>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</si>
  <si>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</si>
  <si>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</si>
  <si>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</si>
  <si>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</si>
  <si>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</si>
  <si>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</si>
  <si>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</si>
  <si>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</si>
  <si>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</si>
  <si>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</si>
  <si>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</si>
  <si>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</si>
  <si>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</si>
  <si>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</si>
  <si>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</si>
  <si>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</si>
  <si>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</si>
  <si>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</si>
  <si>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</si>
  <si>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</si>
  <si>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</si>
  <si>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</si>
  <si>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</si>
  <si>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</si>
  <si>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</si>
  <si>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</si>
  <si>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</si>
  <si>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</si>
  <si>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</si>
  <si>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</si>
  <si>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</si>
  <si>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</si>
  <si>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</si>
  <si>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</si>
  <si>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</si>
  <si>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</si>
  <si>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</si>
  <si>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</si>
  <si>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</si>
  <si>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</si>
  <si>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</si>
  <si>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</si>
  <si>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</si>
  <si>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</si>
  <si>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</si>
  <si>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</si>
  <si>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</si>
  <si>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</si>
  <si>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</si>
  <si>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</si>
  <si>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</si>
  <si>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</si>
  <si>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</si>
  <si>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</si>
  <si>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</si>
  <si>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</si>
  <si>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</si>
  <si>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</si>
  <si>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</si>
  <si>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</si>
  <si>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</si>
  <si>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</si>
  <si>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</si>
  <si>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</si>
  <si>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</si>
  <si>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</si>
  <si>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</si>
  <si>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</si>
  <si>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</si>
  <si>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</si>
  <si>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</si>
  <si>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</si>
  <si>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</si>
  <si>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</si>
  <si>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</t>
    </r>
  </si>
  <si>
    <t>XBOX GAME PASS SUBSCRIPTIONS SALES</t>
  </si>
  <si>
    <t xml:space="preserve">Pergunta de negócio 3 - Total de vendas de assinatura do EA Play </t>
  </si>
  <si>
    <t>Soma de EA Play Season Pass</t>
  </si>
  <si>
    <t>Pergunta de negócio 4 - Total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</si>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</sst>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rgb="FF2AE6B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44" fontId="0" fillId="0" borderId="0" xfId="0" applyNumberFormat="1"/>
    <xf numFmtId="0" fontId="4" fillId="8" borderId="0" xfId="3" applyAlignment="1">
      <alignment horizontal="center"/>
    </xf>
    <xf numFmtId="0" fontId="5" fillId="0" borderId="2" xfId="1" applyFont="1" applyBorder="1"/>
    <xf numFmtId="0" fontId="0" fillId="0" borderId="2" xfId="0" applyBorder="1"/>
    <xf numFmtId="0" fontId="6" fillId="0" borderId="2" xfId="1" applyFont="1" applyBorder="1" applyAlignment="1">
      <alignment horizontal="left" indent="8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9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auto="1"/>
          <bgColor rgb="FF22C55E"/>
        </patternFill>
      </fill>
      <border>
        <left/>
        <right/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43F48F96-34F3-49FB-8D88-37A1957BFD5D}">
      <tableStyleElement type="wholeTable" dxfId="3"/>
      <tableStyleElement type="headerRow" dxfId="2"/>
    </tableStyle>
  </tableStyles>
  <colors>
    <mruColors>
      <color rgb="FF22C55E"/>
      <color rgb="FF2AE6B1"/>
      <color rgb="FF5BF6AB"/>
      <color rgb="FFE8E6E9"/>
      <color rgb="FF5BF6A8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- Xbox Game Pass.xlsx]C̳álculos!tbl_anual_total</c:name>
    <c:fmtId val="3"/>
  </c:pivotSource>
  <c:chart>
    <c:autoTitleDeleted val="1"/>
    <c:pivotFmts>
      <c:pivotFmt>
        <c:idx val="0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597003499562556"/>
          <c:y val="0.23406969962088073"/>
          <c:w val="0.68236329833770781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3-479F-A671-42F3D01B6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4857504"/>
        <c:axId val="1024857920"/>
      </c:barChart>
      <c:catAx>
        <c:axId val="102485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4857920"/>
        <c:crosses val="autoZero"/>
        <c:auto val="1"/>
        <c:lblAlgn val="ctr"/>
        <c:lblOffset val="100"/>
        <c:noMultiLvlLbl val="0"/>
      </c:catAx>
      <c:valAx>
        <c:axId val="102485792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2485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493058</xdr:colOff>
      <xdr:row>17</xdr:row>
      <xdr:rowOff>172573</xdr:rowOff>
    </xdr:from>
    <xdr:to>
      <xdr:col>18</xdr:col>
      <xdr:colOff>403860</xdr:colOff>
      <xdr:row>33</xdr:row>
      <xdr:rowOff>78022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B648896F-37C9-AD20-5F90-E36C95386925}"/>
            </a:ext>
          </a:extLst>
        </xdr:cNvPr>
        <xdr:cNvGrpSpPr/>
      </xdr:nvGrpSpPr>
      <xdr:grpSpPr>
        <a:xfrm>
          <a:off x="2679667" y="3783790"/>
          <a:ext cx="9543476" cy="2953449"/>
          <a:chOff x="2675644" y="3781187"/>
          <a:chExt cx="9495673" cy="2953449"/>
        </a:xfrm>
      </xdr:grpSpPr>
      <xdr:sp macro="" textlink="">
        <xdr:nvSpPr>
          <xdr:cNvPr id="32" name="Retângulo 31">
            <a:extLst>
              <a:ext uri="{FF2B5EF4-FFF2-40B4-BE49-F238E27FC236}">
                <a16:creationId xmlns:a16="http://schemas.microsoft.com/office/drawing/2014/main" id="{80D8EC06-1EE2-CA36-2D3A-5D15BC9F76FD}"/>
              </a:ext>
            </a:extLst>
          </xdr:cNvPr>
          <xdr:cNvSpPr/>
        </xdr:nvSpPr>
        <xdr:spPr>
          <a:xfrm>
            <a:off x="2681827" y="4002752"/>
            <a:ext cx="9489490" cy="158930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6BFBF05B-D42A-BE29-6D37-DB5527A16465}"/>
              </a:ext>
            </a:extLst>
          </xdr:cNvPr>
          <xdr:cNvGrpSpPr/>
        </xdr:nvGrpSpPr>
        <xdr:grpSpPr>
          <a:xfrm>
            <a:off x="2675644" y="3781187"/>
            <a:ext cx="9495224" cy="2953449"/>
            <a:chOff x="10509857" y="5551396"/>
            <a:chExt cx="5580411" cy="2953449"/>
          </a:xfrm>
        </xdr:grpSpPr>
        <xdr:sp macro="" textlink="">
          <xdr:nvSpPr>
            <xdr:cNvPr id="27" name="Retângulo: Cantos Arredondados 26">
              <a:extLst>
                <a:ext uri="{FF2B5EF4-FFF2-40B4-BE49-F238E27FC236}">
                  <a16:creationId xmlns:a16="http://schemas.microsoft.com/office/drawing/2014/main" id="{E7F090F4-B08C-D7BC-366B-F4295BC922D4}"/>
                </a:ext>
              </a:extLst>
            </xdr:cNvPr>
            <xdr:cNvSpPr/>
          </xdr:nvSpPr>
          <xdr:spPr>
            <a:xfrm>
              <a:off x="10509857" y="7030572"/>
              <a:ext cx="5578825" cy="1474273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9" name="Retângulo: Cantos Superiores Arredondados 28">
              <a:extLst>
                <a:ext uri="{FF2B5EF4-FFF2-40B4-BE49-F238E27FC236}">
                  <a16:creationId xmlns:a16="http://schemas.microsoft.com/office/drawing/2014/main" id="{0963653F-0C62-BF6B-CAF5-2BE12426D311}"/>
                </a:ext>
              </a:extLst>
            </xdr:cNvPr>
            <xdr:cNvSpPr/>
          </xdr:nvSpPr>
          <xdr:spPr>
            <a:xfrm>
              <a:off x="10509857" y="5551396"/>
              <a:ext cx="5580411" cy="402711"/>
            </a:xfrm>
            <a:prstGeom prst="round2SameRect">
              <a:avLst>
                <a:gd name="adj1" fmla="val 50000"/>
                <a:gd name="adj2" fmla="val 7224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XBOX GAME PASS</a:t>
              </a:r>
            </a:p>
          </xdr:txBody>
        </xdr:sp>
      </xdr:grpSp>
    </xdr:grpSp>
    <xdr:clientData/>
  </xdr:twoCellAnchor>
  <xdr:twoCellAnchor editAs="absolute">
    <xdr:from>
      <xdr:col>0</xdr:col>
      <xdr:colOff>1895473</xdr:colOff>
      <xdr:row>0</xdr:row>
      <xdr:rowOff>9525</xdr:rowOff>
    </xdr:from>
    <xdr:to>
      <xdr:col>3</xdr:col>
      <xdr:colOff>103187</xdr:colOff>
      <xdr:row>3</xdr:row>
      <xdr:rowOff>57149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96D9DD-17C1-42E5-ACA5-D079438C7F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87" t="15596" r="71536" b="17560"/>
        <a:stretch/>
      </xdr:blipFill>
      <xdr:spPr>
        <a:xfrm>
          <a:off x="1895473" y="9525"/>
          <a:ext cx="998539" cy="1057274"/>
        </a:xfrm>
        <a:prstGeom prst="rect">
          <a:avLst/>
        </a:prstGeom>
      </xdr:spPr>
    </xdr:pic>
    <xdr:clientData/>
  </xdr:twoCellAnchor>
  <xdr:twoCellAnchor>
    <xdr:from>
      <xdr:col>0</xdr:col>
      <xdr:colOff>661148</xdr:colOff>
      <xdr:row>17</xdr:row>
      <xdr:rowOff>121164</xdr:rowOff>
    </xdr:from>
    <xdr:to>
      <xdr:col>16</xdr:col>
      <xdr:colOff>347384</xdr:colOff>
      <xdr:row>32</xdr:row>
      <xdr:rowOff>6864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E12626E-61FF-4169-A68D-A029752D7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59532</xdr:colOff>
      <xdr:row>7</xdr:row>
      <xdr:rowOff>176212</xdr:rowOff>
    </xdr:from>
    <xdr:to>
      <xdr:col>0</xdr:col>
      <xdr:colOff>1833563</xdr:colOff>
      <xdr:row>13</xdr:row>
      <xdr:rowOff>159543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DDFA6DE4-60A3-46A5-9782-44FAE6632C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32" y="1650516"/>
              <a:ext cx="1774031" cy="13582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511968</xdr:colOff>
      <xdr:row>7</xdr:row>
      <xdr:rowOff>266700</xdr:rowOff>
    </xdr:from>
    <xdr:to>
      <xdr:col>10</xdr:col>
      <xdr:colOff>127258</xdr:colOff>
      <xdr:row>16</xdr:row>
      <xdr:rowOff>26334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4F602D0E-A639-B7DD-5147-2843336B3E9B}"/>
            </a:ext>
          </a:extLst>
        </xdr:cNvPr>
        <xdr:cNvGrpSpPr/>
      </xdr:nvGrpSpPr>
      <xdr:grpSpPr>
        <a:xfrm>
          <a:off x="2698577" y="1741004"/>
          <a:ext cx="4518594" cy="1706047"/>
          <a:chOff x="2685909" y="1658471"/>
          <a:chExt cx="4456231" cy="1698251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D5CFD35A-5F5B-3AAF-96D6-751785BCE886}"/>
              </a:ext>
            </a:extLst>
          </xdr:cNvPr>
          <xdr:cNvSpPr/>
        </xdr:nvSpPr>
        <xdr:spPr>
          <a:xfrm>
            <a:off x="2685909" y="1658471"/>
            <a:ext cx="4436129" cy="1474273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6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A912C4A7-4216-4DA8-AE23-15D9A4C232F7}"/>
              </a:ext>
            </a:extLst>
          </xdr:cNvPr>
          <xdr:cNvSpPr/>
        </xdr:nvSpPr>
        <xdr:spPr>
          <a:xfrm>
            <a:off x="4397819" y="2038422"/>
            <a:ext cx="2744321" cy="105517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7F83DE1-6E7A-453F-A2A1-DFB7C91E96BF}" type="TxLink">
              <a:rPr lang="en-US" sz="3600" b="0" i="0" u="none" strike="noStrike">
                <a:solidFill>
                  <a:srgbClr val="2AE6B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R$ 1.350,00</a:t>
            </a:fld>
            <a:endParaRPr lang="pt-BR" sz="3600">
              <a:solidFill>
                <a:srgbClr val="2AE6B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6C146B31-E479-4151-A408-A7F9ED9FAE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62405" y="1775294"/>
            <a:ext cx="1579328" cy="1581428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DEB829B9-98D3-6453-CDA9-422D4847999A}"/>
              </a:ext>
            </a:extLst>
          </xdr:cNvPr>
          <xdr:cNvSpPr/>
        </xdr:nvSpPr>
        <xdr:spPr>
          <a:xfrm>
            <a:off x="2685909" y="1658472"/>
            <a:ext cx="4446204" cy="402711"/>
          </a:xfrm>
          <a:prstGeom prst="round2SameRect">
            <a:avLst>
              <a:gd name="adj1" fmla="val 50000"/>
              <a:gd name="adj2" fmla="val 7224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36838</xdr:colOff>
      <xdr:row>7</xdr:row>
      <xdr:rowOff>266700</xdr:rowOff>
    </xdr:from>
    <xdr:to>
      <xdr:col>18</xdr:col>
      <xdr:colOff>425334</xdr:colOff>
      <xdr:row>14</xdr:row>
      <xdr:rowOff>183356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8E9CB58F-A4DB-CD04-5EAD-1057329863C4}"/>
            </a:ext>
          </a:extLst>
        </xdr:cNvPr>
        <xdr:cNvGrpSpPr/>
      </xdr:nvGrpSpPr>
      <xdr:grpSpPr>
        <a:xfrm>
          <a:off x="7739664" y="1741004"/>
          <a:ext cx="4504953" cy="1482069"/>
          <a:chOff x="7656838" y="1734671"/>
          <a:chExt cx="4456231" cy="1474273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D1116359-41A2-437C-BE46-F1B14D24BBFB}"/>
              </a:ext>
            </a:extLst>
          </xdr:cNvPr>
          <xdr:cNvGrpSpPr/>
        </xdr:nvGrpSpPr>
        <xdr:grpSpPr>
          <a:xfrm>
            <a:off x="7656838" y="1734671"/>
            <a:ext cx="4456231" cy="1474273"/>
            <a:chOff x="2685909" y="1658471"/>
            <a:chExt cx="4456231" cy="1474273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3FC1535E-C14F-9009-7851-F9295CF40671}"/>
                </a:ext>
              </a:extLst>
            </xdr:cNvPr>
            <xdr:cNvSpPr/>
          </xdr:nvSpPr>
          <xdr:spPr>
            <a:xfrm>
              <a:off x="2685909" y="1658471"/>
              <a:ext cx="4436129" cy="1474273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7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B51C7441-0F83-91B2-7586-153E34357E3E}"/>
                </a:ext>
              </a:extLst>
            </xdr:cNvPr>
            <xdr:cNvSpPr/>
          </xdr:nvSpPr>
          <xdr:spPr>
            <a:xfrm>
              <a:off x="4397819" y="2038422"/>
              <a:ext cx="2744321" cy="1055173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D898FF3-F917-42C4-AF4D-02ADDE54F42B}" type="TxLink">
                <a:rPr lang="en-US" sz="3600" b="0" i="0" u="none" strike="noStrike">
                  <a:solidFill>
                    <a:srgbClr val="2AE6B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R$ 1.800,00</a:t>
              </a:fld>
              <a:endParaRPr lang="pt-BR" sz="3600">
                <a:solidFill>
                  <a:srgbClr val="2AE6B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3F43758A-4236-E52E-CC69-8293A66C1970}"/>
                </a:ext>
              </a:extLst>
            </xdr:cNvPr>
            <xdr:cNvSpPr/>
          </xdr:nvSpPr>
          <xdr:spPr>
            <a:xfrm>
              <a:off x="2685909" y="1658472"/>
              <a:ext cx="4446204" cy="402711"/>
            </a:xfrm>
            <a:prstGeom prst="round2SameRect">
              <a:avLst>
                <a:gd name="adj1" fmla="val 50000"/>
                <a:gd name="adj2" fmla="val 7224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 SEASON PASS</a:t>
              </a: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7084884C-BB53-4EF0-830B-149102A0AD18}"/>
              </a:ext>
            </a:extLst>
          </xdr:cNvPr>
          <xdr:cNvGrpSpPr/>
        </xdr:nvGrpSpPr>
        <xdr:grpSpPr>
          <a:xfrm>
            <a:off x="8049044" y="2356646"/>
            <a:ext cx="1173397" cy="569840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46B0C257-2832-5900-2BB3-E922AB3A6CD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E006F8B8-716E-41E2-DCAA-93425061F62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152400</xdr:colOff>
      <xdr:row>0</xdr:row>
      <xdr:rowOff>152400</xdr:rowOff>
    </xdr:from>
    <xdr:to>
      <xdr:col>0</xdr:col>
      <xdr:colOff>847725</xdr:colOff>
      <xdr:row>2</xdr:row>
      <xdr:rowOff>219075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B054F0BE-5C42-4C2A-B58E-653B2FC5D406}"/>
            </a:ext>
          </a:extLst>
        </xdr:cNvPr>
        <xdr:cNvSpPr/>
      </xdr:nvSpPr>
      <xdr:spPr>
        <a:xfrm>
          <a:off x="152400" y="15240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56590</xdr:colOff>
      <xdr:row>5</xdr:row>
      <xdr:rowOff>76200</xdr:rowOff>
    </xdr:from>
    <xdr:to>
      <xdr:col>0</xdr:col>
      <xdr:colOff>1818715</xdr:colOff>
      <xdr:row>7</xdr:row>
      <xdr:rowOff>0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F6EBDCB8-4E41-901F-EF09-374C301520E6}"/>
            </a:ext>
          </a:extLst>
        </xdr:cNvPr>
        <xdr:cNvSpPr/>
      </xdr:nvSpPr>
      <xdr:spPr>
        <a:xfrm>
          <a:off x="56590" y="1286435"/>
          <a:ext cx="1762125" cy="1815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BEM</a:t>
          </a:r>
          <a:r>
            <a:rPr lang="pt-BR" sz="1100" b="1" baseline="0"/>
            <a:t> VINDA, LIANA</a:t>
          </a:r>
          <a:endParaRPr lang="pt-BR" sz="1100" b="1"/>
        </a:p>
      </xdr:txBody>
    </xdr:sp>
    <xdr:clientData/>
  </xdr:twoCellAnchor>
  <xdr:twoCellAnchor editAs="absolute">
    <xdr:from>
      <xdr:col>2</xdr:col>
      <xdr:colOff>421299</xdr:colOff>
      <xdr:row>3</xdr:row>
      <xdr:rowOff>4396</xdr:rowOff>
    </xdr:from>
    <xdr:to>
      <xdr:col>11</xdr:col>
      <xdr:colOff>102578</xdr:colOff>
      <xdr:row>4</xdr:row>
      <xdr:rowOff>82794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E2FEDA3F-08A8-49DA-9DA6-98C95E56D3B4}"/>
            </a:ext>
          </a:extLst>
        </xdr:cNvPr>
        <xdr:cNvSpPr/>
      </xdr:nvSpPr>
      <xdr:spPr>
        <a:xfrm>
          <a:off x="2604722" y="1015511"/>
          <a:ext cx="5154491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000" b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 period: 01/012024 - 31/12/2024 </a:t>
          </a:r>
          <a:r>
            <a:rPr lang="pt-BR" sz="1000" b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000" b="0" i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|  Update date: 25/12/2024  09:00:00</a:t>
          </a:r>
          <a:endParaRPr lang="pt-BR" sz="1000" b="0">
            <a:solidFill>
              <a:schemeClr val="tx1">
                <a:lumMod val="65000"/>
                <a:lumOff val="3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7.893931481478" createdVersion="8" refreshedVersion="8" minRefreshableVersion="3" recordCount="295" xr:uid="{6A285BBB-E417-4D3B-80E2-75CD18554E3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575301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52F31-E30B-47D5-87AB-E1685DE40BE5}" name="Tabela dinâmica4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3:C3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400EB-1C9D-4C40-9099-CCE9C01D94BA}" name="tbl_aeseasonpass_total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1B04BF-0BCB-4EFE-B6A4-C67FC9371312}" name="tbl_anual_total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2:C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1">
    <format dxfId="4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EB11C9E-A958-4D49-9BAD-4A78FD87A6AD}" sourceName="Subscription Type">
  <pivotTables>
    <pivotTable tabId="3" name="tbl_anual_total"/>
    <pivotTable tabId="3" name="tbl_aeseasonpass_total"/>
    <pivotTable tabId="3" name="Tabela dinâmica4"/>
  </pivotTables>
  <data>
    <tabular pivotCacheId="657530163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EE6257E7-539C-47F8-8A32-D83D6E6B16EC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8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7"/>
    <tableColumn id="2" xr3:uid="{53DD39D0-2220-4121-9E9D-4EAA7E151C0F}" name="Name" dataDxfId="16"/>
    <tableColumn id="3" xr3:uid="{4F5FF271-4C57-4BE0-8F2C-F82C8551625C}" name="Plan" dataDxfId="15"/>
    <tableColumn id="4" xr3:uid="{8C17EB93-79B9-4E55-B8F7-BEB82F8253E9}" name="Start Date" dataDxfId="14"/>
    <tableColumn id="5" xr3:uid="{48CEDF9B-1689-482A-A828-5CCE7713264A}" name="Auto Renewal" dataDxfId="13"/>
    <tableColumn id="6" xr3:uid="{78B82374-9AA7-4E38-AE4F-78CDE6C83720}" name="Subscription Price" dataDxfId="12" dataCellStyle="Moeda"/>
    <tableColumn id="7" xr3:uid="{F2433F68-AF33-49D0-B1FB-19A396074EDE}" name="Subscription Type" dataDxfId="11"/>
    <tableColumn id="8" xr3:uid="{FD4D9C95-F6E5-4933-9068-A71FF7DF9343}" name="EA Play Season Pass" dataDxfId="10"/>
    <tableColumn id="13" xr3:uid="{978DD0D2-834E-4CE4-A39B-30976086932F}" name="EA Play Season Pass_x000a_Price" dataDxfId="9" dataCellStyle="Moeda"/>
    <tableColumn id="9" xr3:uid="{6E29F111-C395-4580-9DAD-3407D9E8B1A4}" name="Minecraft Season Pass" dataDxfId="8"/>
    <tableColumn id="10" xr3:uid="{EF544EAA-7F25-4FD5-A10E-8E62804DB9E3}" name="Minecraft Season Pass Price" dataDxfId="7" dataCellStyle="Moeda"/>
    <tableColumn id="11" xr3:uid="{7F6EB64A-1F07-4E48-9F0F-AC7D9DCD26F8}" name="Coupon Value" dataDxfId="6" dataCellStyle="Moeda"/>
    <tableColumn id="12" xr3:uid="{2B04ABC8-DE6F-426E-ADC0-D8AFC68CA58E}" name="Total Value" dataDxfId="5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6" sqref="B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G37"/>
  <sheetViews>
    <sheetView showGridLines="0" workbookViewId="0">
      <selection activeCell="B6" sqref="B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7" x14ac:dyDescent="0.25">
      <c r="B3" s="16" t="s">
        <v>316</v>
      </c>
      <c r="C3" s="16"/>
      <c r="D3" s="16"/>
      <c r="E3" s="16"/>
      <c r="F3" s="16"/>
      <c r="G3" s="16"/>
    </row>
    <row r="6" spans="2:7" x14ac:dyDescent="0.25">
      <c r="B6" t="s">
        <v>317</v>
      </c>
    </row>
    <row r="7" spans="2:7" x14ac:dyDescent="0.25">
      <c r="B7" t="s">
        <v>318</v>
      </c>
    </row>
    <row r="10" spans="2:7" x14ac:dyDescent="0.25">
      <c r="B10" s="12" t="s">
        <v>16</v>
      </c>
      <c r="C10" t="s">
        <v>20</v>
      </c>
    </row>
    <row r="12" spans="2:7" x14ac:dyDescent="0.25">
      <c r="B12" s="12" t="s">
        <v>313</v>
      </c>
      <c r="C12" t="s">
        <v>315</v>
      </c>
    </row>
    <row r="13" spans="2:7" x14ac:dyDescent="0.25">
      <c r="B13" s="13" t="s">
        <v>23</v>
      </c>
      <c r="C13" s="15">
        <v>2824</v>
      </c>
    </row>
    <row r="14" spans="2:7" x14ac:dyDescent="0.25">
      <c r="B14" s="13" t="s">
        <v>19</v>
      </c>
      <c r="C14" s="15">
        <v>747</v>
      </c>
    </row>
    <row r="15" spans="2:7" x14ac:dyDescent="0.25">
      <c r="B15" s="13" t="s">
        <v>314</v>
      </c>
      <c r="C15" s="15">
        <v>3571</v>
      </c>
    </row>
    <row r="18" spans="2:5" x14ac:dyDescent="0.25">
      <c r="B18" s="13" t="s">
        <v>320</v>
      </c>
    </row>
    <row r="20" spans="2:5" x14ac:dyDescent="0.25">
      <c r="B20" s="12" t="s">
        <v>16</v>
      </c>
      <c r="C20" t="s">
        <v>20</v>
      </c>
    </row>
    <row r="22" spans="2:5" x14ac:dyDescent="0.25">
      <c r="B22" s="12" t="s">
        <v>313</v>
      </c>
      <c r="C22" t="s">
        <v>321</v>
      </c>
    </row>
    <row r="23" spans="2:5" x14ac:dyDescent="0.25">
      <c r="B23" s="13" t="s">
        <v>22</v>
      </c>
      <c r="C23" s="15">
        <v>0</v>
      </c>
    </row>
    <row r="24" spans="2:5" x14ac:dyDescent="0.25">
      <c r="B24" s="13" t="s">
        <v>26</v>
      </c>
      <c r="C24" s="15">
        <v>0</v>
      </c>
    </row>
    <row r="25" spans="2:5" x14ac:dyDescent="0.25">
      <c r="B25" s="13" t="s">
        <v>18</v>
      </c>
      <c r="C25" s="15">
        <v>1350</v>
      </c>
    </row>
    <row r="26" spans="2:5" x14ac:dyDescent="0.25">
      <c r="B26" s="13" t="s">
        <v>314</v>
      </c>
      <c r="C26" s="15">
        <v>1350</v>
      </c>
      <c r="E26" s="14">
        <f>GETPIVOTDATA("EA Play Season Pass
Price",$B$22)</f>
        <v>1350</v>
      </c>
    </row>
    <row r="29" spans="2:5" x14ac:dyDescent="0.25">
      <c r="B29" s="13" t="s">
        <v>322</v>
      </c>
    </row>
    <row r="31" spans="2:5" x14ac:dyDescent="0.25">
      <c r="B31" s="12" t="s">
        <v>16</v>
      </c>
      <c r="C31" t="s">
        <v>20</v>
      </c>
    </row>
    <row r="33" spans="2:5" x14ac:dyDescent="0.25">
      <c r="B33" s="12" t="s">
        <v>313</v>
      </c>
      <c r="C33" t="s">
        <v>323</v>
      </c>
    </row>
    <row r="34" spans="2:5" x14ac:dyDescent="0.25">
      <c r="B34" s="13" t="s">
        <v>22</v>
      </c>
      <c r="C34" s="15">
        <v>0</v>
      </c>
    </row>
    <row r="35" spans="2:5" x14ac:dyDescent="0.25">
      <c r="B35" s="13" t="s">
        <v>26</v>
      </c>
      <c r="C35" s="15">
        <v>900</v>
      </c>
    </row>
    <row r="36" spans="2:5" x14ac:dyDescent="0.25">
      <c r="B36" s="13" t="s">
        <v>18</v>
      </c>
      <c r="C36" s="15">
        <v>900</v>
      </c>
    </row>
    <row r="37" spans="2:5" x14ac:dyDescent="0.25">
      <c r="B37" s="13" t="s">
        <v>314</v>
      </c>
      <c r="C37" s="15">
        <v>1800</v>
      </c>
      <c r="E37" s="14">
        <f>GETPIVOTDATA("Minecraft Season Pass Price",$B$33)</f>
        <v>1800</v>
      </c>
    </row>
  </sheetData>
  <mergeCells count="1">
    <mergeCell ref="B3:G3"/>
  </mergeCells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CC140"/>
  <sheetViews>
    <sheetView showGridLines="0" showRowColHeaders="0" tabSelected="1" zoomScale="115" zoomScaleNormal="115" workbookViewId="0">
      <selection activeCell="W12" sqref="W12"/>
    </sheetView>
  </sheetViews>
  <sheetFormatPr defaultRowHeight="15" x14ac:dyDescent="0.25"/>
  <cols>
    <col min="1" max="1" width="29.140625" style="4" customWidth="1"/>
    <col min="2" max="2" width="3.5703125" customWidth="1"/>
    <col min="12" max="12" width="6.5703125" customWidth="1"/>
  </cols>
  <sheetData>
    <row r="1" spans="2:81" ht="30" customHeight="1" x14ac:dyDescent="0.25"/>
    <row r="2" spans="2:81" ht="20.100000000000001" customHeight="1" thickBot="1" x14ac:dyDescent="0.5">
      <c r="C2" s="19" t="s">
        <v>319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8"/>
      <c r="Q2" s="18"/>
      <c r="R2" s="18"/>
      <c r="S2" s="18"/>
    </row>
    <row r="3" spans="2:81" ht="30" customHeight="1" thickTop="1" x14ac:dyDescent="0.25"/>
    <row r="4" spans="2:81" ht="8.25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</row>
    <row r="5" spans="2:81" ht="7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</row>
    <row r="6" spans="2:81" ht="10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</row>
    <row r="7" spans="2:81" ht="9.7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</row>
    <row r="8" spans="2:81" ht="33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</row>
    <row r="9" spans="2:81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</row>
    <row r="10" spans="2:81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</row>
    <row r="11" spans="2:81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</row>
    <row r="12" spans="2:81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</row>
    <row r="13" spans="2:81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</row>
    <row r="14" spans="2:81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</row>
    <row r="15" spans="2:81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</row>
    <row r="16" spans="2:81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</row>
    <row r="17" spans="2:81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</row>
    <row r="18" spans="2:81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</row>
    <row r="19" spans="2:81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</row>
    <row r="20" spans="2:81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</row>
    <row r="21" spans="2:81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</row>
    <row r="22" spans="2:81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</row>
    <row r="23" spans="2:81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</row>
    <row r="24" spans="2:81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</row>
    <row r="25" spans="2:81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</row>
    <row r="26" spans="2:81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</row>
    <row r="27" spans="2:81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</row>
    <row r="28" spans="2:81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</row>
    <row r="29" spans="2:81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</row>
    <row r="30" spans="2:81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</row>
    <row r="31" spans="2:81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</row>
    <row r="32" spans="2:81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</row>
    <row r="33" spans="2:81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</row>
    <row r="34" spans="2:81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</row>
    <row r="35" spans="2:81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</row>
    <row r="36" spans="2:81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</row>
    <row r="37" spans="2:81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</row>
    <row r="38" spans="2:81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</row>
    <row r="39" spans="2:8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</row>
    <row r="40" spans="2:81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</row>
    <row r="41" spans="2:8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</row>
    <row r="42" spans="2:81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</row>
    <row r="43" spans="2:81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</row>
    <row r="44" spans="2:81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</row>
    <row r="45" spans="2:81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</row>
    <row r="46" spans="2:81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</row>
    <row r="47" spans="2:81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</row>
    <row r="48" spans="2:81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</row>
    <row r="49" spans="2:81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</row>
    <row r="50" spans="2:81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</row>
    <row r="51" spans="2:81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</row>
    <row r="52" spans="2:81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</row>
    <row r="53" spans="2:81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</row>
    <row r="54" spans="2:81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</row>
    <row r="55" spans="2:81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</row>
    <row r="56" spans="2:81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</row>
    <row r="57" spans="2:81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</row>
    <row r="58" spans="2:81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</row>
    <row r="59" spans="2:81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</row>
    <row r="60" spans="2:81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</row>
    <row r="61" spans="2:81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</row>
    <row r="62" spans="2:81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</row>
    <row r="63" spans="2:81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</row>
    <row r="64" spans="2:81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</row>
    <row r="65" spans="2:81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</row>
    <row r="66" spans="2:81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</row>
    <row r="67" spans="2:81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</row>
    <row r="68" spans="2:81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</row>
    <row r="69" spans="2:81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</row>
    <row r="70" spans="2:81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</row>
    <row r="71" spans="2:81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</row>
    <row r="72" spans="2:81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</row>
    <row r="73" spans="2:81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</row>
    <row r="74" spans="2:81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</row>
    <row r="75" spans="2:81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</row>
    <row r="76" spans="2:81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</row>
    <row r="77" spans="2:81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</row>
    <row r="78" spans="2:81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</row>
    <row r="79" spans="2:81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</row>
    <row r="80" spans="2:81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</row>
    <row r="81" spans="2:81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</row>
    <row r="82" spans="2:81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</row>
    <row r="83" spans="2:81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</row>
    <row r="84" spans="2:81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</row>
    <row r="85" spans="2:81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</row>
    <row r="86" spans="2:81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</row>
    <row r="87" spans="2:81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</row>
    <row r="88" spans="2:81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</row>
    <row r="89" spans="2:81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</row>
    <row r="90" spans="2:81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</row>
    <row r="91" spans="2:81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</row>
    <row r="92" spans="2:81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</row>
    <row r="93" spans="2:81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</row>
    <row r="94" spans="2:81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</row>
    <row r="95" spans="2:81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</row>
    <row r="96" spans="2:81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</row>
    <row r="97" spans="2:81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</row>
    <row r="98" spans="2:81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</row>
    <row r="99" spans="2:81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</row>
    <row r="100" spans="2:81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</row>
    <row r="101" spans="2:81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</row>
    <row r="102" spans="2:81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</row>
    <row r="103" spans="2:81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</row>
    <row r="104" spans="2:81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</row>
    <row r="105" spans="2:81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</row>
    <row r="106" spans="2:81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</row>
    <row r="107" spans="2:81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</row>
    <row r="108" spans="2:81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</row>
    <row r="109" spans="2:81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</row>
    <row r="110" spans="2:81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</row>
    <row r="111" spans="2:81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</row>
    <row r="112" spans="2:81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</row>
    <row r="113" spans="2:81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</row>
    <row r="114" spans="2:81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</row>
    <row r="115" spans="2:8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</row>
    <row r="116" spans="2:8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</row>
    <row r="117" spans="2:81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</row>
    <row r="118" spans="2:81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</row>
    <row r="119" spans="2:81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</row>
    <row r="120" spans="2:81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</row>
    <row r="121" spans="2:81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</row>
    <row r="122" spans="2:81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</row>
    <row r="123" spans="2:81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</row>
    <row r="124" spans="2:81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</row>
    <row r="125" spans="2:81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</row>
    <row r="126" spans="2:81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</row>
    <row r="127" spans="2:81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</row>
    <row r="128" spans="2:81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</row>
    <row r="129" spans="2:81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</row>
    <row r="130" spans="2:81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</row>
    <row r="131" spans="2:81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</row>
    <row r="132" spans="2:81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</row>
    <row r="133" spans="2:81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</row>
    <row r="134" spans="2:81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</row>
    <row r="135" spans="2:81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</row>
    <row r="136" spans="2:81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</row>
    <row r="137" spans="2:81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</row>
    <row r="138" spans="2:81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</row>
    <row r="139" spans="2:81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</row>
    <row r="140" spans="2:81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User</cp:lastModifiedBy>
  <dcterms:created xsi:type="dcterms:W3CDTF">2024-12-19T13:13:10Z</dcterms:created>
  <dcterms:modified xsi:type="dcterms:W3CDTF">2026-02-15T02:10:09Z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